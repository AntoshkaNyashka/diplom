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7aca673b0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7a5258e085cf4776"/>
    <x:sheet xmlns:r="http://schemas.openxmlformats.org/officeDocument/2006/relationships" name="Ранги экспертов" sheetId="2" r:id="R683085064c924f14"/>
    <x:sheet xmlns:r="http://schemas.openxmlformats.org/officeDocument/2006/relationships" name="Веса критериев" sheetId="3" r:id="R79895dba659146cb"/>
    <x:sheet xmlns:r="http://schemas.openxmlformats.org/officeDocument/2006/relationships" name="Альтернативы" sheetId="4" r:id="Rc932c2d0797c48e2"/>
    <x:sheet xmlns:r="http://schemas.openxmlformats.org/officeDocument/2006/relationships" name="ОПЭ расчет" sheetId="5" r:id="R831464df6d7b4e5e"/>
    <x:sheet xmlns:r="http://schemas.openxmlformats.org/officeDocument/2006/relationships" name="Результат" sheetId="6" r:id="Rfece0cbd98b6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6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3"/>
      <x:name val="Carlito"/>
    </x:font>
    <x:font>
      <x:b/>
      <x:sz val="10"/>
      <x:color rgb="FFFFFF"/>
      <x:name val="Arial"/>
    </x:font>
    <x:font>
      <x:sz val="10"/>
      <x:name val="Arial"/>
    </x:font>
    <x:font>
      <x:b/>
      <x:sz val="10"/>
      <x:color rgb="1F29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0F5F8F"/>
      </x:patternFill>
    </x:fill>
    <x:fill>
      <x:patternFill patternType="solid">
        <x:fgColor rgb="D9EAF7"/>
      </x:patternFill>
    </x:fill>
    <x:fill>
      <x:patternFill patternType="solid">
        <x:fgColor rgb="FFF7D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29875b76bd4baa" /><Relationship Type="http://schemas.openxmlformats.org/officeDocument/2006/relationships/theme" Target="/xl/theme/theme1.xml" Id="R4cee66a4f3a84b1a" /><Relationship Type="http://schemas.openxmlformats.org/officeDocument/2006/relationships/sharedStrings" Target="/xl/sharedStrings.xml" Id="Rfe78c91bc33f4079" /><Relationship Type="http://schemas.openxmlformats.org/officeDocument/2006/relationships/worksheet" Target="/xl/worksheets/sheet1.xml" Id="R7a5258e085cf4776" /><Relationship Type="http://schemas.openxmlformats.org/officeDocument/2006/relationships/worksheet" Target="/xl/worksheets/sheet2.xml" Id="R683085064c924f14" /><Relationship Type="http://schemas.openxmlformats.org/officeDocument/2006/relationships/worksheet" Target="/xl/worksheets/sheet3.xml" Id="R79895dba659146cb" /><Relationship Type="http://schemas.openxmlformats.org/officeDocument/2006/relationships/worksheet" Target="/xl/worksheets/sheet4.xml" Id="Rc932c2d0797c48e2" /><Relationship Type="http://schemas.openxmlformats.org/officeDocument/2006/relationships/worksheet" Target="/xl/worksheets/sheet5.xml" Id="R831464df6d7b4e5e" /><Relationship Type="http://schemas.openxmlformats.org/officeDocument/2006/relationships/worksheet" Target="/xl/worksheets/sheet6.xml" Id="Rfece0cbd98b64d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fd2bd377ca42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ОПЭ туристических маршрутов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ОПЭ</c:v>
          </c:tx>
          <c:cat>
            <c:strRef>
              <c:f>'Результат'!$G$2:$G$7</c:f>
              <c:strCache>
                <c:ptCount val="0"/>
              </c:strCache>
            </c:strRef>
          </c:cat>
          <c:val>
            <c:numRef>
              <c:f>'Результат'!$H$2:$H$7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fd2bd377ca42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9179b1a900984a8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11" t="str">
        <x:v>Excel-шаблон для экспертной оценки ОПЭ туристических маршрутов</x:v>
      </x:c>
      <x:c r="B1" s="11" t="str"/>
      <x:c r="C1" s="11" t="str"/>
      <x:c r="D1" s="11" t="str"/>
      <x:c r="E1" s="11" t="str"/>
      <x:c r="F1" s="11" t="str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3" t="str">
        <x:v>Назначение</x:v>
      </x:c>
      <x:c r="B3" s="12" t="str">
        <x:v>Файл подготовлен для расчета обобщенного показателя эффективности (ОПЭ) и экспертных весов критериев.</x:v>
      </x:c>
      <x:c r="C3" s="12" t="str"/>
      <x:c r="D3" s="12" t="str"/>
      <x:c r="E3" s="12" t="str"/>
      <x:c r="F3" s="12" t="str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3" t="str">
        <x:v>Как использовать в программе</x:v>
      </x:c>
      <x:c r="B4" s="12" t="str">
        <x:v>Лист «Ранги экспертов» начинается с A1: ячейка A1 пустая, в первой строке имена экспертов, в первом столбце характеристики. Его можно загрузить как матрицу рангов.</x:v>
      </x:c>
      <x:c r="C4" s="12" t="str"/>
      <x:c r="D4" s="12" t="str"/>
      <x:c r="E4" s="12" t="str"/>
      <x:c r="F4" s="12" t="str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3" t="str">
        <x:v>Правило рангов</x:v>
      </x:c>
      <x:c r="B5" s="12" t="str">
        <x:v>Ранг 1 означает самый важный критерий. Чем меньше ранг, тем выше значимость.</x:v>
      </x:c>
      <x:c r="C5" s="12" t="str"/>
      <x:c r="D5" s="12" t="str"/>
      <x:c r="E5" s="12" t="str"/>
      <x:c r="F5" s="12" t="str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3" t="str">
        <x:v>Альтернативы</x:v>
      </x:c>
      <x:c r="B6" s="12" t="str">
        <x:v>Лист «Альтернативы» содержит абсолютные или балльные значения маршрутов. Для стоимости используется направление min, для остальных критериев max.</x:v>
      </x:c>
      <x:c r="C6" s="12" t="str"/>
      <x:c r="D6" s="12" t="str"/>
      <x:c r="E6" s="12" t="str"/>
      <x:c r="F6" s="12" t="str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3" t="str">
        <x:v>Расчет</x:v>
      </x:c>
      <x:c r="B7" s="12" t="str">
        <x:v>Листы «Веса критериев», «ОПЭ расчет» и «Результат» содержат формулы Excel. Можно менять оценки экспертов и значения альтернатив.</x:v>
      </x:c>
      <x:c r="C7" s="12" t="str"/>
      <x:c r="D7" s="12" t="str"/>
      <x:c r="E7" s="12" t="str"/>
      <x:c r="F7" s="12" t="str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3" t="str">
        <x:v>Связь с дипломом</x:v>
      </x:c>
      <x:c r="B8" s="12" t="str">
        <x:v>Критерии соответствуют рекомендательной системе подбора туристических маршрутов.</x:v>
      </x:c>
      <x:c r="C8" s="12" t="str"/>
      <x:c r="D8" s="12" t="str"/>
      <x:c r="E8" s="12" t="str"/>
      <x:c r="F8" s="12" t="str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/>
      <x:c r="B9" s="12" t="str"/>
      <x:c r="C9" s="12" t="str"/>
      <x:c r="D9" s="12" t="str"/>
      <x:c r="E9" s="12" t="str"/>
      <x:c r="F9" s="12" t="str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Файл</x:v>
      </x:c>
      <x:c r="B10" s="12" t="str">
        <x:v>expert_ope_tourism_routes.xlsx</x:v>
      </x:c>
      <x:c r="C10" s="12" t="str"/>
      <x:c r="D10" s="12" t="str"/>
      <x:c r="E10" s="12" t="str"/>
      <x:c r="F10" s="12" t="str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>
      <x:c r="A1" s="13" t="str"/>
      <x:c r="B1" s="13" t="str">
        <x:v>Эксперт 1</x:v>
      </x:c>
      <x:c r="C1" s="13" t="str">
        <x:v>Эксперт 2</x:v>
      </x:c>
      <x:c r="D1" s="13" t="str">
        <x:v>Эксперт 3</x:v>
      </x:c>
      <x:c r="E1" s="13" t="str">
        <x:v>Эксперт 4</x:v>
      </x:c>
      <x:c r="F1" s="13" t="str">
        <x:v>Эксперт 5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Соответствие интересам</x:v>
      </x:c>
      <x:c r="B2" s="14" t="n">
        <x:v>1</x:v>
      </x:c>
      <x:c r="C2" s="14" t="n">
        <x:v>1</x:v>
      </x:c>
      <x:c r="D2" s="14" t="n">
        <x:v>2</x:v>
      </x:c>
      <x:c r="E2" s="14" t="n">
        <x:v>1</x:v>
      </x:c>
      <x:c r="F2" s="14" t="n">
        <x:v>1</x:v>
      </x:c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v>Стоимость маршрута, руб.</x:v>
      </x:c>
      <x:c r="B3" s="14" t="n">
        <x:v>2</x:v>
      </x:c>
      <x:c r="C3" s="14" t="n">
        <x:v>2</x:v>
      </x:c>
      <x:c r="D3" s="14" t="n">
        <x:v>1</x:v>
      </x:c>
      <x:c r="E3" s="14" t="n">
        <x:v>3</x:v>
      </x:c>
      <x:c r="F3" s="14" t="n">
        <x:v>2</x:v>
      </x:c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v>Соответствие направлению</x:v>
      </x:c>
      <x:c r="B4" s="14" t="n">
        <x:v>3</x:v>
      </x:c>
      <x:c r="C4" s="14" t="n">
        <x:v>4</x:v>
      </x:c>
      <x:c r="D4" s="14" t="n">
        <x:v>3</x:v>
      </x:c>
      <x:c r="E4" s="14" t="n">
        <x:v>2</x:v>
      </x:c>
      <x:c r="F4" s="14" t="n">
        <x:v>3</x:v>
      </x:c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v>Сезонность</x:v>
      </x:c>
      <x:c r="B5" s="14" t="n">
        <x:v>4</x:v>
      </x:c>
      <x:c r="C5" s="14" t="n">
        <x:v>3</x:v>
      </x:c>
      <x:c r="D5" s="14" t="n">
        <x:v>4</x:v>
      </x:c>
      <x:c r="E5" s="14" t="n">
        <x:v>4</x:v>
      </x:c>
      <x:c r="F5" s="14" t="n">
        <x:v>4</x:v>
      </x:c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v>Длительность</x:v>
      </x:c>
      <x:c r="B6" s="14" t="n">
        <x:v>5</x:v>
      </x:c>
      <x:c r="C6" s="14" t="n">
        <x:v>5</x:v>
      </x:c>
      <x:c r="D6" s="14" t="n">
        <x:v>5</x:v>
      </x:c>
      <x:c r="E6" s="14" t="n">
        <x:v>5</x:v>
      </x:c>
      <x:c r="F6" s="14" t="n">
        <x:v>6</x:v>
      </x:c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v>Активность</x:v>
      </x:c>
      <x:c r="B7" s="14" t="n">
        <x:v>6</x:v>
      </x:c>
      <x:c r="C7" s="14" t="n">
        <x:v>6</x:v>
      </x:c>
      <x:c r="D7" s="14" t="n">
        <x:v>6</x:v>
      </x:c>
      <x:c r="E7" s="14" t="n">
        <x:v>6</x:v>
      </x:c>
      <x:c r="F7" s="14" t="n">
        <x:v>5</x:v>
      </x:c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v>Транспорт</x:v>
      </x:c>
      <x:c r="B8" s="14" t="n">
        <x:v>7</x:v>
      </x:c>
      <x:c r="C8" s="14" t="n">
        <x:v>7</x:v>
      </x:c>
      <x:c r="D8" s="14" t="n">
        <x:v>8</x:v>
      </x:c>
      <x:c r="E8" s="14" t="n">
        <x:v>7</x:v>
      </x:c>
      <x:c r="F8" s="14" t="n">
        <x:v>7</x:v>
      </x:c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>
        <x:v>Климат</x:v>
      </x:c>
      <x:c r="B9" s="14" t="n">
        <x:v>8</x:v>
      </x:c>
      <x:c r="C9" s="14" t="n">
        <x:v>9</x:v>
      </x:c>
      <x:c r="D9" s="14" t="n">
        <x:v>7</x:v>
      </x:c>
      <x:c r="E9" s="14" t="n">
        <x:v>8</x:v>
      </x:c>
      <x:c r="F9" s="14" t="n">
        <x:v>9</x:v>
      </x:c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Доступность</x:v>
      </x:c>
      <x:c r="B10" s="14" t="n">
        <x:v>9</x:v>
      </x:c>
      <x:c r="C10" s="14" t="n">
        <x:v>8</x:v>
      </x:c>
      <x:c r="D10" s="14" t="n">
        <x:v>9</x:v>
      </x:c>
      <x:c r="E10" s="14" t="n">
        <x:v>9</x:v>
      </x:c>
      <x:c r="F10" s="14" t="n">
        <x:v>8</x:v>
      </x:c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Инфраструктура</x:v>
      </x:c>
      <x:c r="B11" s="14" t="n">
        <x:v>10</x:v>
      </x:c>
      <x:c r="C11" s="14" t="n">
        <x:v>10</x:v>
      </x:c>
      <x:c r="D11" s="14" t="n">
        <x:v>10</x:v>
      </x:c>
      <x:c r="E11" s="14" t="n">
        <x:v>10</x:v>
      </x:c>
      <x:c r="F11" s="14" t="n">
        <x:v>10</x:v>
      </x:c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3" t="str">
        <x:v>Пояснение</x:v>
      </x:c>
      <x:c r="B13" s="12" t="str">
        <x:v>Этот лист можно загружать в программу из инструкции как матрицу с названиями характеристик и именами экспертов.</x:v>
      </x:c>
      <x:c r="C13" s="12" t="str"/>
      <x:c r="D13" s="12" t="str"/>
      <x:c r="E13" s="12" t="str"/>
      <x:c r="F13" s="12" t="str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3" t="str"/>
      <x:c r="B14" s="12" t="str">
        <x:v>A1 оставлена пустой специально.</x:v>
      </x:c>
      <x:c r="C14" s="12" t="str"/>
      <x:c r="D14" s="12" t="str"/>
      <x:c r="E14" s="12" t="str"/>
      <x:c r="F14" s="12" t="str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3" t="str"/>
      <x:c r="B15" s="12" t="str">
        <x:v>Ранги должны быть натуральными числами: 1, 2, 3 ...</x:v>
      </x:c>
      <x:c r="C15" s="12" t="str"/>
      <x:c r="D15" s="12" t="str"/>
      <x:c r="E15" s="12" t="str"/>
      <x:c r="F15" s="12" t="str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3" t="str"/>
      <x:c r="B16" s="12" t="str">
        <x:v>Наиболее важный критерий получает ранг 1.</x:v>
      </x:c>
      <x:c r="C16" s="12" t="str"/>
      <x:c r="D16" s="12" t="str"/>
      <x:c r="E16" s="12" t="str"/>
      <x:c r="F16" s="12" t="str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34" hidden="0" customWidth="1"/>
    <x:col min="11" max="11" width="24" hidden="0" customWidth="1"/>
  </x:cols>
  <x:sheetData>
    <x:row r="1">
      <x:c r="A1" s="13" t="str">
        <x:v>Код</x:v>
      </x:c>
      <x:c r="B1" s="13" t="str">
        <x:v>Критерий</x:v>
      </x:c>
      <x:c r="C1" s="13" t="str">
        <x:v>Сумма рангов</x:v>
      </x:c>
      <x:c r="D1" s="13" t="str">
        <x:v>Средний ранг</x:v>
      </x:c>
      <x:c r="E1" s="13" t="str">
        <x:v>Обратная оценка</x:v>
      </x:c>
      <x:c r="F1" s="13" t="str">
        <x:v>Вес</x:v>
      </x:c>
      <x:c r="G1" s="13" t="str">
        <x:v>Вес, %</x:v>
      </x:c>
      <x:c r="H1" s="13" t="str">
        <x:v>Направление</x:v>
      </x:c>
      <x:c r="I1" s="12"/>
      <x:c r="J1" s="13" t="str">
        <x:v>Показатель</x:v>
      </x:c>
      <x:c r="K1" s="13" t="str">
        <x:v>Значение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K1</x:v>
      </x:c>
      <x:c r="B2" s="12" t="str">
        <x:v>Соответствие интересам</x:v>
      </x:c>
      <x:c r="C2" s="12" t="n">
        <x:f>SUM('Ранги экспертов'!B2:F2)</x:f>
        <x:v>6</x:v>
      </x:c>
      <x:c r="D2" s="12" t="n">
        <x:f>AVERAGE('Ранги экспертов'!B2:F2)</x:f>
        <x:v>1.2</x:v>
      </x:c>
      <x:c r="E2" s="12" t="n">
        <x:f>1/D2</x:f>
        <x:v>0.8333333333333334</x:v>
      </x:c>
      <x:c r="F2" s="15" t="n">
        <x:f>E2/SUM($E$2:$E$11)</x:f>
        <x:v>0.300661611590697</x:v>
      </x:c>
      <x:c r="G2" s="15" t="n">
        <x:f>F2</x:f>
        <x:v>0.300661611590697</x:v>
      </x:c>
      <x:c r="H2" s="12" t="str">
        <x:v>max</x:v>
      </x:c>
      <x:c r="I2" s="12"/>
      <x:c r="J2" s="12" t="str">
        <x:v>Количество критериев m</x:v>
      </x:c>
      <x:c r="K2" s="12" t="n">
        <x:v>10</x:v>
      </x:c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v>K2</x:v>
      </x:c>
      <x:c r="B3" s="12" t="str">
        <x:v>Стоимость маршрута, руб.</x:v>
      </x:c>
      <x:c r="C3" s="12" t="n">
        <x:f>SUM('Ранги экспертов'!B3:F3)</x:f>
        <x:v>10</x:v>
      </x:c>
      <x:c r="D3" s="12" t="n">
        <x:f>AVERAGE('Ранги экспертов'!B3:F3)</x:f>
        <x:v>2</x:v>
      </x:c>
      <x:c r="E3" s="12" t="n">
        <x:f>1/D3</x:f>
        <x:v>0.5</x:v>
      </x:c>
      <x:c r="F3" s="15" t="n">
        <x:f>E3/SUM($E$2:$E$11)</x:f>
        <x:v>0.18039696695441818</x:v>
      </x:c>
      <x:c r="G3" s="15" t="n">
        <x:f>F3</x:f>
        <x:v>0.18039696695441818</x:v>
      </x:c>
      <x:c r="H3" s="12" t="str">
        <x:v>min</x:v>
      </x:c>
      <x:c r="I3" s="12"/>
      <x:c r="J3" s="12" t="str">
        <x:v>Количество экспертов d</x:v>
      </x:c>
      <x:c r="K3" s="12" t="n">
        <x:v>5</x:v>
      </x:c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v>K3</x:v>
      </x:c>
      <x:c r="B4" s="12" t="str">
        <x:v>Соответствие направлению</x:v>
      </x:c>
      <x:c r="C4" s="12" t="n">
        <x:f>SUM('Ранги экспертов'!B4:F4)</x:f>
        <x:v>15</x:v>
      </x:c>
      <x:c r="D4" s="12" t="n">
        <x:f>AVERAGE('Ранги экспертов'!B4:F4)</x:f>
        <x:v>3</x:v>
      </x:c>
      <x:c r="E4" s="12" t="n">
        <x:f>1/D4</x:f>
        <x:v>0.3333333333333333</x:v>
      </x:c>
      <x:c r="F4" s="15" t="n">
        <x:f>E4/SUM($E$2:$E$11)</x:f>
        <x:v>0.12026464463627878</x:v>
      </x:c>
      <x:c r="G4" s="15" t="n">
        <x:f>F4</x:f>
        <x:v>0.12026464463627878</x:v>
      </x:c>
      <x:c r="H4" s="12" t="str">
        <x:v>max</x:v>
      </x:c>
      <x:c r="I4" s="12"/>
      <x:c r="J4" s="12" t="str">
        <x:v>Средняя сумма рангов</x:v>
      </x:c>
      <x:c r="K4" s="12" t="n">
        <x:f>K3*(K2+1)/2</x:f>
        <x:v>27.5</x:v>
      </x:c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v>K4</x:v>
      </x:c>
      <x:c r="B5" s="12" t="str">
        <x:v>Сезонность</x:v>
      </x:c>
      <x:c r="C5" s="12" t="n">
        <x:f>SUM('Ранги экспертов'!B5:F5)</x:f>
        <x:v>19</x:v>
      </x:c>
      <x:c r="D5" s="12" t="n">
        <x:f>AVERAGE('Ранги экспертов'!B5:F5)</x:f>
        <x:v>3.8</x:v>
      </x:c>
      <x:c r="E5" s="12" t="n">
        <x:f>1/D5</x:f>
        <x:v>0.2631578947368421</x:v>
      </x:c>
      <x:c r="F5" s="15" t="n">
        <x:f>E5/SUM($E$2:$E$11)</x:f>
        <x:v>0.09494577208127272</x:v>
      </x:c>
      <x:c r="G5" s="15" t="n">
        <x:f>F5</x:f>
        <x:v>0.09494577208127272</x:v>
      </x:c>
      <x:c r="H5" s="12" t="str">
        <x:v>max</x:v>
      </x:c>
      <x:c r="I5" s="12"/>
      <x:c r="J5" s="12" t="str">
        <x:v>S = сумма квадратов отклонений</x:v>
      </x:c>
      <x:c r="K5" s="12" t="e">
        <x:f>SUMXMY2(C2:C11,$K$4)</x:f>
      </x:c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v>K5</x:v>
      </x:c>
      <x:c r="B6" s="12" t="str">
        <x:v>Длительность</x:v>
      </x:c>
      <x:c r="C6" s="12" t="n">
        <x:f>SUM('Ранги экспертов'!B6:F6)</x:f>
        <x:v>26</x:v>
      </x:c>
      <x:c r="D6" s="12" t="n">
        <x:f>AVERAGE('Ранги экспертов'!B6:F6)</x:f>
        <x:v>5.2</x:v>
      </x:c>
      <x:c r="E6" s="12" t="n">
        <x:f>1/D6</x:f>
        <x:v>0.1923076923076923</x:v>
      </x:c>
      <x:c r="F6" s="15" t="n">
        <x:f>E6/SUM($E$2:$E$11)</x:f>
        <x:v>0.06938344882862238</x:v>
      </x:c>
      <x:c r="G6" s="15" t="n">
        <x:f>F6</x:f>
        <x:v>0.06938344882862238</x:v>
      </x:c>
      <x:c r="H6" s="12" t="str">
        <x:v>max</x:v>
      </x:c>
      <x:c r="I6" s="12"/>
      <x:c r="J6" s="12" t="str">
        <x:v>Коэффициент конкордации W</x:v>
      </x:c>
      <x:c r="K6" s="16" t="e">
        <x:f>12*K5/(K3^2*(K2^3-K2))</x:f>
      </x:c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v>K6</x:v>
      </x:c>
      <x:c r="B7" s="12" t="str">
        <x:v>Активность</x:v>
      </x:c>
      <x:c r="C7" s="12" t="n">
        <x:f>SUM('Ранги экспертов'!B7:F7)</x:f>
        <x:v>29</x:v>
      </x:c>
      <x:c r="D7" s="12" t="n">
        <x:f>AVERAGE('Ранги экспертов'!B7:F7)</x:f>
        <x:v>5.8</x:v>
      </x:c>
      <x:c r="E7" s="12" t="n">
        <x:f>1/D7</x:f>
        <x:v>0.1724137931034483</x:v>
      </x:c>
      <x:c r="F7" s="15" t="n">
        <x:f>E7/SUM($E$2:$E$11)</x:f>
        <x:v>0.06220585067393731</x:v>
      </x:c>
      <x:c r="G7" s="15" t="n">
        <x:f>F7</x:f>
        <x:v>0.06220585067393731</x:v>
      </x:c>
      <x:c r="H7" s="12" t="str">
        <x:v>max</x:v>
      </x:c>
      <x:c r="I7" s="12"/>
      <x:c r="J7" s="12" t="str">
        <x:v>χ² расчетное</x:v>
      </x:c>
      <x:c r="K7" s="16" t="e">
        <x:f>K3*(K2-1)*K6</x:f>
      </x:c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 t="str">
        <x:v>K7</x:v>
      </x:c>
      <x:c r="B8" s="12" t="str">
        <x:v>Транспорт</x:v>
      </x:c>
      <x:c r="C8" s="12" t="n">
        <x:f>SUM('Ранги экспертов'!B8:F8)</x:f>
        <x:v>36</x:v>
      </x:c>
      <x:c r="D8" s="12" t="n">
        <x:f>AVERAGE('Ранги экспертов'!B8:F8)</x:f>
        <x:v>7.2</x:v>
      </x:c>
      <x:c r="E8" s="12" t="n">
        <x:f>1/D8</x:f>
        <x:v>0.1388888888888889</x:v>
      </x:c>
      <x:c r="F8" s="15" t="n">
        <x:f>E8/SUM($E$2:$E$11)</x:f>
        <x:v>0.0501102685984495</x:v>
      </x:c>
      <x:c r="G8" s="15" t="n">
        <x:f>F8</x:f>
        <x:v>0.0501102685984495</x:v>
      </x:c>
      <x:c r="H8" s="12" t="str">
        <x:v>max</x:v>
      </x:c>
      <x:c r="I8" s="12"/>
      <x:c r="J8" s="12" t="str">
        <x:v>Вывод</x:v>
      </x:c>
      <x:c r="K8" s="12" t="e">
        <x:f>IF(K6&gt;=0.5,"эксперты согласованы","нужна повторная оценка")</x:f>
      </x:c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 t="str">
        <x:v>K8</x:v>
      </x:c>
      <x:c r="B9" s="12" t="str">
        <x:v>Климат</x:v>
      </x:c>
      <x:c r="C9" s="12" t="n">
        <x:f>SUM('Ранги экспертов'!B9:F9)</x:f>
        <x:v>41</x:v>
      </x:c>
      <x:c r="D9" s="12" t="n">
        <x:f>AVERAGE('Ранги экспертов'!B9:F9)</x:f>
        <x:v>8.2</x:v>
      </x:c>
      <x:c r="E9" s="12" t="n">
        <x:f>1/D9</x:f>
        <x:v>0.12195121951219513</x:v>
      </x:c>
      <x:c r="F9" s="15" t="n">
        <x:f>E9/SUM($E$2:$E$11)</x:f>
        <x:v>0.04399926023278493</x:v>
      </x:c>
      <x:c r="G9" s="15" t="n">
        <x:f>F9</x:f>
        <x:v>0.04399926023278493</x:v>
      </x:c>
      <x:c r="H9" s="12" t="str">
        <x:v>max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 t="str">
        <x:v>K9</x:v>
      </x:c>
      <x:c r="B10" s="12" t="str">
        <x:v>Доступность</x:v>
      </x:c>
      <x:c r="C10" s="12" t="n">
        <x:f>SUM('Ранги экспертов'!B10:F10)</x:f>
        <x:v>43</x:v>
      </x:c>
      <x:c r="D10" s="12" t="n">
        <x:f>AVERAGE('Ранги экспертов'!B10:F10)</x:f>
        <x:v>8.6</x:v>
      </x:c>
      <x:c r="E10" s="12" t="n">
        <x:f>1/D10</x:f>
        <x:v>0.11627906976744186</x:v>
      </x:c>
      <x:c r="F10" s="15" t="n">
        <x:f>E10/SUM($E$2:$E$11)</x:f>
        <x:v>0.04195278301265539</x:v>
      </x:c>
      <x:c r="G10" s="15" t="n">
        <x:f>F10</x:f>
        <x:v>0.04195278301265539</x:v>
      </x:c>
      <x:c r="H10" s="12" t="str">
        <x:v>max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 t="str">
        <x:v>K10</x:v>
      </x:c>
      <x:c r="B11" s="12" t="str">
        <x:v>Инфраструктура</x:v>
      </x:c>
      <x:c r="C11" s="12" t="n">
        <x:f>SUM('Ранги экспертов'!B11:F11)</x:f>
        <x:v>50</x:v>
      </x:c>
      <x:c r="D11" s="12" t="n">
        <x:f>AVERAGE('Ранги экспертов'!B11:F11)</x:f>
        <x:v>10</x:v>
      </x:c>
      <x:c r="E11" s="12" t="n">
        <x:f>1/D11</x:f>
        <x:v>0.1</x:v>
      </x:c>
      <x:c r="F11" s="15" t="n">
        <x:f>E11/SUM($E$2:$E$11)</x:f>
        <x:v>0.03607939339088364</x:v>
      </x:c>
      <x:c r="G11" s="15" t="n">
        <x:f>F11</x:f>
        <x:v>0.03607939339088364</x:v>
      </x:c>
      <x:c r="H11" s="12" t="str">
        <x:v>max</x:v>
      </x:c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13" t="str"/>
      <x:c r="B1" s="13" t="str">
        <x:v>Соответствие интересам</x:v>
      </x:c>
      <x:c r="C1" s="13" t="str">
        <x:v>Стоимость маршрута, руб.</x:v>
      </x:c>
      <x:c r="D1" s="13" t="str">
        <x:v>Соответствие направлению</x:v>
      </x:c>
      <x:c r="E1" s="13" t="str">
        <x:v>Сезонность</x:v>
      </x:c>
      <x:c r="F1" s="13" t="str">
        <x:v>Длительность</x:v>
      </x:c>
      <x:c r="G1" s="13" t="str">
        <x:v>Активность</x:v>
      </x:c>
      <x:c r="H1" s="13" t="str">
        <x:v>Транспорт</x:v>
      </x:c>
      <x:c r="I1" s="13" t="str">
        <x:v>Климат</x:v>
      </x:c>
      <x:c r="J1" s="13" t="str">
        <x:v>Доступность</x:v>
      </x:c>
      <x:c r="K1" s="13" t="str">
        <x:v>Инфраструктура</x:v>
      </x:c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v>Кисловодск: культурная программа</x:v>
      </x:c>
      <x:c r="B2" s="14" t="n">
        <x:v>8.2</x:v>
      </x:c>
      <x:c r="C2" s="14" t="n">
        <x:v>21100</x:v>
      </x:c>
      <x:c r="D2" s="14" t="n">
        <x:v>8</x:v>
      </x:c>
      <x:c r="E2" s="14" t="n">
        <x:v>10</x:v>
      </x:c>
      <x:c r="F2" s="14" t="n">
        <x:v>10</x:v>
      </x:c>
      <x:c r="G2" s="14" t="n">
        <x:v>10</x:v>
      </x:c>
      <x:c r="H2" s="14" t="n">
        <x:v>6.5</x:v>
      </x:c>
      <x:c r="I2" s="14" t="n">
        <x:v>10</x:v>
      </x:c>
      <x:c r="J2" s="14" t="n">
        <x:v>7.8</x:v>
      </x:c>
      <x:c r="K2" s="14" t="n">
        <x:v>8</x:v>
      </x:c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v>Пятигорск: семейный отдых</x:v>
      </x:c>
      <x:c r="B3" s="14" t="n">
        <x:v>7.6</x:v>
      </x:c>
      <x:c r="C3" s="14" t="n">
        <x:v>18900</x:v>
      </x:c>
      <x:c r="D3" s="14" t="n">
        <x:v>8</x:v>
      </x:c>
      <x:c r="E3" s="14" t="n">
        <x:v>10</x:v>
      </x:c>
      <x:c r="F3" s="14" t="n">
        <x:v>10</x:v>
      </x:c>
      <x:c r="G3" s="14" t="n">
        <x:v>6.5</x:v>
      </x:c>
      <x:c r="H3" s="14" t="n">
        <x:v>10</x:v>
      </x:c>
      <x:c r="I3" s="14" t="n">
        <x:v>10</x:v>
      </x:c>
      <x:c r="J3" s="14" t="n">
        <x:v>7.8</x:v>
      </x:c>
      <x:c r="K3" s="14" t="n">
        <x:v>7</x:v>
      </x:c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v>Ставрополь: активный маршрут</x:v>
      </x:c>
      <x:c r="B4" s="14" t="n">
        <x:v>8</x:v>
      </x:c>
      <x:c r="C4" s="14" t="n">
        <x:v>25900</x:v>
      </x:c>
      <x:c r="D4" s="14" t="n">
        <x:v>8</x:v>
      </x:c>
      <x:c r="E4" s="14" t="n">
        <x:v>10</x:v>
      </x:c>
      <x:c r="F4" s="14" t="n">
        <x:v>10</x:v>
      </x:c>
      <x:c r="G4" s="14" t="n">
        <x:v>6.5</x:v>
      </x:c>
      <x:c r="H4" s="14" t="n">
        <x:v>10</x:v>
      </x:c>
      <x:c r="I4" s="14" t="n">
        <x:v>10</x:v>
      </x:c>
      <x:c r="J4" s="14" t="n">
        <x:v>8.9</x:v>
      </x:c>
      <x:c r="K4" s="14" t="n">
        <x:v>8</x:v>
      </x:c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v>Ессентуки: семейный отдых</x:v>
      </x:c>
      <x:c r="B5" s="14" t="n">
        <x:v>7.7</x:v>
      </x:c>
      <x:c r="C5" s="14" t="n">
        <x:v>19100</x:v>
      </x:c>
      <x:c r="D5" s="14" t="n">
        <x:v>8</x:v>
      </x:c>
      <x:c r="E5" s="14" t="n">
        <x:v>10</x:v>
      </x:c>
      <x:c r="F5" s="14" t="n">
        <x:v>10</x:v>
      </x:c>
      <x:c r="G5" s="14" t="n">
        <x:v>6.5</x:v>
      </x:c>
      <x:c r="H5" s="14" t="n">
        <x:v>10</x:v>
      </x:c>
      <x:c r="I5" s="14" t="n">
        <x:v>10</x:v>
      </x:c>
      <x:c r="J5" s="14" t="n">
        <x:v>7.8</x:v>
      </x:c>
      <x:c r="K5" s="14" t="n">
        <x:v>7</x:v>
      </x:c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v>Минеральные Воды: семейный отдых</x:v>
      </x:c>
      <x:c r="B6" s="14" t="n">
        <x:v>7.4</x:v>
      </x:c>
      <x:c r="C6" s="14" t="n">
        <x:v>17900</x:v>
      </x:c>
      <x:c r="D6" s="14" t="n">
        <x:v>8</x:v>
      </x:c>
      <x:c r="E6" s="14" t="n">
        <x:v>10</x:v>
      </x:c>
      <x:c r="F6" s="14" t="n">
        <x:v>10</x:v>
      </x:c>
      <x:c r="G6" s="14" t="n">
        <x:v>6.5</x:v>
      </x:c>
      <x:c r="H6" s="14" t="n">
        <x:v>10</x:v>
      </x:c>
      <x:c r="I6" s="14" t="n">
        <x:v>10</x:v>
      </x:c>
      <x:c r="J6" s="14" t="n">
        <x:v>7</x:v>
      </x:c>
      <x:c r="K6" s="14" t="n">
        <x:v>6</x:v>
      </x:c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v>Железноводск: семейный отдых</x:v>
      </x:c>
      <x:c r="B7" s="14" t="n">
        <x:v>7.2</x:v>
      </x:c>
      <x:c r="C7" s="14" t="n">
        <x:v>16700</x:v>
      </x:c>
      <x:c r="D7" s="14" t="n">
        <x:v>8</x:v>
      </x:c>
      <x:c r="E7" s="14" t="n">
        <x:v>10</x:v>
      </x:c>
      <x:c r="F7" s="14" t="n">
        <x:v>10</x:v>
      </x:c>
      <x:c r="G7" s="14" t="n">
        <x:v>6.5</x:v>
      </x:c>
      <x:c r="H7" s="14" t="n">
        <x:v>10</x:v>
      </x:c>
      <x:c r="I7" s="14" t="n">
        <x:v>10</x:v>
      </x:c>
      <x:c r="J7" s="14" t="n">
        <x:v>6.5</x:v>
      </x:c>
      <x:c r="K7" s="14" t="n">
        <x:v>6</x:v>
      </x:c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3" t="str">
        <x:v>Пояснение</x:v>
      </x:c>
      <x:c r="B9" s="12" t="str">
        <x:v>Этот лист содержит значения альтернатив по критериям. Для загрузки в программу используйте диапазон A1:K7.</x:v>
      </x:c>
      <x:c r="C9" s="12" t="str"/>
      <x:c r="D9" s="12" t="str"/>
      <x:c r="E9" s="12" t="str"/>
      <x:c r="F9" s="12" t="str"/>
      <x:c r="G9" s="12" t="str"/>
      <x:c r="H9" s="12" t="str"/>
      <x:c r="I9" s="12" t="str"/>
      <x:c r="J9" s="12" t="str"/>
      <x:c r="K9" s="12" t="str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3" t="str"/>
      <x:c r="B10" s="12" t="str">
        <x:v>Стоимость является минимизируемым критерием: чем меньше цена, тем лучше.</x:v>
      </x:c>
      <x:c r="C10" s="12" t="str"/>
      <x:c r="D10" s="12" t="str"/>
      <x:c r="E10" s="12" t="str"/>
      <x:c r="F10" s="12" t="str"/>
      <x:c r="G10" s="12" t="str"/>
      <x:c r="H10" s="12" t="str"/>
      <x:c r="I10" s="12" t="str"/>
      <x:c r="J10" s="12" t="str"/>
      <x:c r="K10" s="12" t="str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3" t="str"/>
      <x:c r="B11" s="12" t="str">
        <x:v>Остальные показатели заданы в баллах, где большее значение лучше.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3" t="str"/>
      <x:c r="B12" s="12" t="str">
        <x:v>При необходимости замените маршруты и значения на свои.</x:v>
      </x:c>
      <x:c r="C12" s="12" t="str"/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13" t="str">
        <x:v>Маршрут</x:v>
      </x:c>
      <x:c r="B1" s="13" t="str">
        <x:v>Соответствие интересам</x:v>
      </x:c>
      <x:c r="C1" s="13" t="str">
        <x:v>Стоимость маршрута, руб.</x:v>
      </x:c>
      <x:c r="D1" s="13" t="str">
        <x:v>Соответствие направлению</x:v>
      </x:c>
      <x:c r="E1" s="13" t="str">
        <x:v>Сезонность</x:v>
      </x:c>
      <x:c r="F1" s="13" t="str">
        <x:v>Длительность</x:v>
      </x:c>
      <x:c r="G1" s="13" t="str">
        <x:v>Активность</x:v>
      </x:c>
      <x:c r="H1" s="13" t="str">
        <x:v>Транспорт</x:v>
      </x:c>
      <x:c r="I1" s="13" t="str">
        <x:v>Климат</x:v>
      </x:c>
      <x:c r="J1" s="13" t="str">
        <x:v>Доступность</x:v>
      </x:c>
      <x:c r="K1" s="13" t="str">
        <x:v>Инфраструктура</x:v>
      </x:c>
      <x:c r="L1" s="13" t="str">
        <x:v>ОПЭ</x:v>
      </x:c>
      <x:c r="M1" s="13" t="str">
        <x:v>ОПЭ, %</x:v>
      </x:c>
      <x:c r="N1" s="13" t="str">
        <x:v>Место</x:v>
      </x:c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f>'Альтернативы'!A2</x:f>
        <x:v>Кисловодск: культурная программа</x:v>
      </x:c>
      <x:c r="B2" s="15" t="n">
        <x:f>IF(MAX('Альтернативы'!B$2:B$7)=MIN('Альтернативы'!B$2:B$7),1,IF('Веса критериев'!H2="min",(MAX('Альтернативы'!B$2:B$7)-'Альтернативы'!B2)/(MAX('Альтернативы'!B$2:B$7)-MIN('Альтернативы'!B$2:B$7)),('Альтернативы'!B2-MIN('Альтернативы'!B$2:B$7))/(MAX('Альтернативы'!B$2:B$7)-MIN('Альтернативы'!B$2:B$7))))</x:f>
        <x:v>1</x:v>
      </x:c>
      <x:c r="C2" s="15" t="n">
        <x:f>IF(MAX('Альтернативы'!C$2:C$7)=MIN('Альтернативы'!C$2:C$7),1,IF('Веса критериев'!I2="min",(MAX('Альтернативы'!C$2:C$7)-'Альтернативы'!C2)/(MAX('Альтернативы'!C$2:C$7)-MIN('Альтернативы'!C$2:C$7)),('Альтернативы'!C2-MIN('Альтернативы'!C$2:C$7))/(MAX('Альтернативы'!C$2:C$7)-MIN('Альтернативы'!C$2:C$7))))</x:f>
        <x:v>0.4782608695652174</x:v>
      </x:c>
      <x:c r="D2" s="15" t="n">
        <x:f>IF(MAX('Альтернативы'!D$2:D$7)=MIN('Альтернативы'!D$2:D$7),1,IF('Веса критериев'!J2="min",(MAX('Альтернативы'!D$2:D$7)-'Альтернативы'!D2)/(MAX('Альтернативы'!D$2:D$7)-MIN('Альтернативы'!D$2:D$7)),('Альтернативы'!D2-MIN('Альтернативы'!D$2:D$7))/(MAX('Альтернативы'!D$2:D$7)-MIN('Альтернативы'!D$2:D$7))))</x:f>
        <x:v>1</x:v>
      </x:c>
      <x:c r="E2" s="15" t="n">
        <x:f>IF(MAX('Альтернативы'!E$2:E$7)=MIN('Альтернативы'!E$2:E$7),1,IF('Веса критериев'!K2="min",(MAX('Альтернативы'!E$2:E$7)-'Альтернативы'!E2)/(MAX('Альтернативы'!E$2:E$7)-MIN('Альтернативы'!E$2:E$7)),('Альтернативы'!E2-MIN('Альтернативы'!E$2:E$7))/(MAX('Альтернативы'!E$2:E$7)-MIN('Альтернативы'!E$2:E$7))))</x:f>
        <x:v>1</x:v>
      </x:c>
      <x:c r="F2" s="15" t="n">
        <x:f>IF(MAX('Альтернативы'!F$2:F$7)=MIN('Альтернативы'!F$2:F$7),1,IF('Веса критериев'!L2="min",(MAX('Альтернативы'!F$2:F$7)-'Альтернативы'!F2)/(MAX('Альтернативы'!F$2:F$7)-MIN('Альтернативы'!F$2:F$7)),('Альтернативы'!F2-MIN('Альтернативы'!F$2:F$7))/(MAX('Альтернативы'!F$2:F$7)-MIN('Альтернативы'!F$2:F$7))))</x:f>
        <x:v>1</x:v>
      </x:c>
      <x:c r="G2" s="15" t="n">
        <x:f>IF(MAX('Альтернативы'!G$2:G$7)=MIN('Альтернативы'!G$2:G$7),1,IF('Веса критериев'!M2="min",(MAX('Альтернативы'!G$2:G$7)-'Альтернативы'!G2)/(MAX('Альтернативы'!G$2:G$7)-MIN('Альтернативы'!G$2:G$7)),('Альтернативы'!G2-MIN('Альтернативы'!G$2:G$7))/(MAX('Альтернативы'!G$2:G$7)-MIN('Альтернативы'!G$2:G$7))))</x:f>
        <x:v>1</x:v>
      </x:c>
      <x:c r="H2" s="15" t="n">
        <x:f>IF(MAX('Альтернативы'!H$2:H$7)=MIN('Альтернативы'!H$2:H$7),1,IF('Веса критериев'!N2="min",(MAX('Альтернативы'!H$2:H$7)-'Альтернативы'!H2)/(MAX('Альтернативы'!H$2:H$7)-MIN('Альтернативы'!H$2:H$7)),('Альтернативы'!H2-MIN('Альтернативы'!H$2:H$7))/(MAX('Альтернативы'!H$2:H$7)-MIN('Альтернативы'!H$2:H$7))))</x:f>
        <x:v>0</x:v>
      </x:c>
      <x:c r="I2" s="15" t="n">
        <x:f>IF(MAX('Альтернативы'!I$2:I$7)=MIN('Альтернативы'!I$2:I$7),1,IF('Веса критериев'!O2="min",(MAX('Альтернативы'!I$2:I$7)-'Альтернативы'!I2)/(MAX('Альтернативы'!I$2:I$7)-MIN('Альтернативы'!I$2:I$7)),('Альтернативы'!I2-MIN('Альтернативы'!I$2:I$7))/(MAX('Альтернативы'!I$2:I$7)-MIN('Альтернативы'!I$2:I$7))))</x:f>
        <x:v>1</x:v>
      </x:c>
      <x:c r="J2" s="15" t="n">
        <x:f>IF(MAX('Альтернативы'!J$2:J$7)=MIN('Альтернативы'!J$2:J$7),1,IF('Веса критериев'!P2="min",(MAX('Альтернативы'!J$2:J$7)-'Альтернативы'!J2)/(MAX('Альтернативы'!J$2:J$7)-MIN('Альтернативы'!J$2:J$7)),('Альтернативы'!J2-MIN('Альтернативы'!J$2:J$7))/(MAX('Альтернативы'!J$2:J$7)-MIN('Альтернативы'!J$2:J$7))))</x:f>
        <x:v>0.5416666666666665</x:v>
      </x:c>
      <x:c r="K2" s="15" t="n">
        <x:f>IF(MAX('Альтернативы'!K$2:K$7)=MIN('Альтернативы'!K$2:K$7),1,IF('Веса критериев'!Q2="min",(MAX('Альтернативы'!K$2:K$7)-'Альтернативы'!K2)/(MAX('Альтернативы'!K$2:K$7)-MIN('Альтернативы'!K$2:K$7)),('Альтернативы'!K2-MIN('Альтернативы'!K$2:K$7))/(MAX('Альтернативы'!K$2:K$7)-MIN('Альтернативы'!K$2:K$7))))</x:f>
        <x:v>1</x:v>
      </x:c>
      <x:c r="L2" s="15" t="n">
        <x:f>B2*'Веса критериев'!$F$2+C2*'Веса критериев'!$F$3+D2*'Веса критериев'!$F$4+E2*'Веса критериев'!$F$5+F2*'Веса критериев'!$F$6+G2*'Веса критериев'!$F$7+H2*'Веса критериев'!$F$8+I2*'Веса критериев'!$F$9+J2*'Веса критериев'!$F$10+K2*'Веса критериев'!$F$11</x:f>
        <x:v>0.8365412158488795</x:v>
      </x:c>
      <x:c r="M2" s="15" t="n">
        <x:f>L2</x:f>
        <x:v>0.8365412158488795</x:v>
      </x:c>
      <x:c r="N2" s="12" t="n">
        <x:f>RANK.EQ(L2,$L$2:$L$7,0)</x:f>
        <x:v>2</x:v>
      </x:c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f>'Альтернативы'!A3</x:f>
        <x:v>Пятигорск: семейный отдых</x:v>
      </x:c>
      <x:c r="B3" s="15" t="n">
        <x:f>IF(MAX('Альтернативы'!B$2:B$7)=MIN('Альтернативы'!B$2:B$7),1,IF('Веса критериев'!H3="min",(MAX('Альтернативы'!B$2:B$7)-'Альтернативы'!B3)/(MAX('Альтернативы'!B$2:B$7)-MIN('Альтернативы'!B$2:B$7)),('Альтернативы'!B3-MIN('Альтернативы'!B$2:B$7))/(MAX('Альтернативы'!B$2:B$7)-MIN('Альтернативы'!B$2:B$7))))</x:f>
        <x:v>0.6000000000000002</x:v>
      </x:c>
      <x:c r="C3" s="15" t="n">
        <x:f>IF(MAX('Альтернативы'!C$2:C$7)=MIN('Альтернативы'!C$2:C$7),1,IF('Веса критериев'!I3="min",(MAX('Альтернативы'!C$2:C$7)-'Альтернативы'!C3)/(MAX('Альтернативы'!C$2:C$7)-MIN('Альтернативы'!C$2:C$7)),('Альтернативы'!C3-MIN('Альтернативы'!C$2:C$7))/(MAX('Альтернативы'!C$2:C$7)-MIN('Альтернативы'!C$2:C$7))))</x:f>
        <x:v>0.2391304347826087</x:v>
      </x:c>
      <x:c r="D3" s="15" t="n">
        <x:f>IF(MAX('Альтернативы'!D$2:D$7)=MIN('Альтернативы'!D$2:D$7),1,IF('Веса критериев'!J3="min",(MAX('Альтернативы'!D$2:D$7)-'Альтернативы'!D3)/(MAX('Альтернативы'!D$2:D$7)-MIN('Альтернативы'!D$2:D$7)),('Альтернативы'!D3-MIN('Альтернативы'!D$2:D$7))/(MAX('Альтернативы'!D$2:D$7)-MIN('Альтернативы'!D$2:D$7))))</x:f>
        <x:v>1</x:v>
      </x:c>
      <x:c r="E3" s="15" t="n">
        <x:f>IF(MAX('Альтернативы'!E$2:E$7)=MIN('Альтернативы'!E$2:E$7),1,IF('Веса критериев'!K3="min",(MAX('Альтернативы'!E$2:E$7)-'Альтернативы'!E3)/(MAX('Альтернативы'!E$2:E$7)-MIN('Альтернативы'!E$2:E$7)),('Альтернативы'!E3-MIN('Альтернативы'!E$2:E$7))/(MAX('Альтернативы'!E$2:E$7)-MIN('Альтернативы'!E$2:E$7))))</x:f>
        <x:v>1</x:v>
      </x:c>
      <x:c r="F3" s="15" t="n">
        <x:f>IF(MAX('Альтернативы'!F$2:F$7)=MIN('Альтернативы'!F$2:F$7),1,IF('Веса критериев'!L3="min",(MAX('Альтернативы'!F$2:F$7)-'Альтернативы'!F3)/(MAX('Альтернативы'!F$2:F$7)-MIN('Альтернативы'!F$2:F$7)),('Альтернативы'!F3-MIN('Альтернативы'!F$2:F$7))/(MAX('Альтернативы'!F$2:F$7)-MIN('Альтернативы'!F$2:F$7))))</x:f>
        <x:v>1</x:v>
      </x:c>
      <x:c r="G3" s="15" t="n">
        <x:f>IF(MAX('Альтернативы'!G$2:G$7)=MIN('Альтернативы'!G$2:G$7),1,IF('Веса критериев'!M3="min",(MAX('Альтернативы'!G$2:G$7)-'Альтернативы'!G3)/(MAX('Альтернативы'!G$2:G$7)-MIN('Альтернативы'!G$2:G$7)),('Альтернативы'!G3-MIN('Альтернативы'!G$2:G$7))/(MAX('Альтернативы'!G$2:G$7)-MIN('Альтернативы'!G$2:G$7))))</x:f>
        <x:v>0</x:v>
      </x:c>
      <x:c r="H3" s="15" t="n">
        <x:f>IF(MAX('Альтернативы'!H$2:H$7)=MIN('Альтернативы'!H$2:H$7),1,IF('Веса критериев'!N3="min",(MAX('Альтернативы'!H$2:H$7)-'Альтернативы'!H3)/(MAX('Альтернативы'!H$2:H$7)-MIN('Альтернативы'!H$2:H$7)),('Альтернативы'!H3-MIN('Альтернативы'!H$2:H$7))/(MAX('Альтернативы'!H$2:H$7)-MIN('Альтернативы'!H$2:H$7))))</x:f>
        <x:v>1</x:v>
      </x:c>
      <x:c r="I3" s="15" t="n">
        <x:f>IF(MAX('Альтернативы'!I$2:I$7)=MIN('Альтернативы'!I$2:I$7),1,IF('Веса критериев'!O3="min",(MAX('Альтернативы'!I$2:I$7)-'Альтернативы'!I3)/(MAX('Альтернативы'!I$2:I$7)-MIN('Альтернативы'!I$2:I$7)),('Альтернативы'!I3-MIN('Альтернативы'!I$2:I$7))/(MAX('Альтернативы'!I$2:I$7)-MIN('Альтернативы'!I$2:I$7))))</x:f>
        <x:v>1</x:v>
      </x:c>
      <x:c r="J3" s="15" t="n">
        <x:f>IF(MAX('Альтернативы'!J$2:J$7)=MIN('Альтернативы'!J$2:J$7),1,IF('Веса критериев'!P3="min",(MAX('Альтернативы'!J$2:J$7)-'Альтернативы'!J3)/(MAX('Альтернативы'!J$2:J$7)-MIN('Альтернативы'!J$2:J$7)),('Альтернативы'!J3-MIN('Альтернативы'!J$2:J$7))/(MAX('Альтернативы'!J$2:J$7)-MIN('Альтернативы'!J$2:J$7))))</x:f>
        <x:v>0.5416666666666665</x:v>
      </x:c>
      <x:c r="K3" s="15" t="n">
        <x:f>IF(MAX('Альтернативы'!K$2:K$7)=MIN('Альтернативы'!K$2:K$7),1,IF('Веса критериев'!Q3="min",(MAX('Альтернативы'!K$2:K$7)-'Альтернативы'!K3)/(MAX('Альтернативы'!K$2:K$7)-MIN('Альтернативы'!K$2:K$7)),('Альтернативы'!K3-MIN('Альтернативы'!K$2:K$7))/(MAX('Альтернативы'!K$2:K$7)-MIN('Альтернативы'!K$2:K$7))))</x:f>
        <x:v>0.5</x:v>
      </x:c>
      <x:c r="L3" s="15" t="n">
        <x:f>B3*'Веса критериев'!$F$2+C3*'Веса критериев'!$F$3+D3*'Веса критериев'!$F$4+E3*'Веса критериев'!$F$5+F3*'Веса критериев'!$F$6+G3*'Веса критериев'!$F$7+H3*'Веса критериев'!$F$8+I3*'Веса критериев'!$F$9+J3*'Веса критериев'!$F$10+K3*'Веса критериев'!$F$11</x:f>
        <x:v>0.6430028873003972</x:v>
      </x:c>
      <x:c r="M3" s="15" t="n">
        <x:f>L3</x:f>
        <x:v>0.6430028873003972</x:v>
      </x:c>
      <x:c r="N3" s="12" t="n">
        <x:f>RANK.EQ(L3,$L$2:$L$7,0)</x:f>
        <x:v>3</x:v>
      </x:c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f>'Альтернативы'!A4</x:f>
        <x:v>Ставрополь: активный маршрут</x:v>
      </x:c>
      <x:c r="B4" s="15" t="n">
        <x:f>IF(MAX('Альтернативы'!B$2:B$7)=MIN('Альтернативы'!B$2:B$7),1,IF('Веса критериев'!H4="min",(MAX('Альтернативы'!B$2:B$7)-'Альтернативы'!B4)/(MAX('Альтернативы'!B$2:B$7)-MIN('Альтернативы'!B$2:B$7)),('Альтернативы'!B4-MIN('Альтернативы'!B$2:B$7))/(MAX('Альтернативы'!B$2:B$7)-MIN('Альтернативы'!B$2:B$7))))</x:f>
        <x:v>0.8000000000000005</x:v>
      </x:c>
      <x:c r="C4" s="15" t="n">
        <x:f>IF(MAX('Альтернативы'!C$2:C$7)=MIN('Альтернативы'!C$2:C$7),1,IF('Веса критериев'!I4="min",(MAX('Альтернативы'!C$2:C$7)-'Альтернативы'!C4)/(MAX('Альтернативы'!C$2:C$7)-MIN('Альтернативы'!C$2:C$7)),('Альтернативы'!C4-MIN('Альтернативы'!C$2:C$7))/(MAX('Альтернативы'!C$2:C$7)-MIN('Альтернативы'!C$2:C$7))))</x:f>
        <x:v>1</x:v>
      </x:c>
      <x:c r="D4" s="15" t="n">
        <x:f>IF(MAX('Альтернативы'!D$2:D$7)=MIN('Альтернативы'!D$2:D$7),1,IF('Веса критериев'!J4="min",(MAX('Альтернативы'!D$2:D$7)-'Альтернативы'!D4)/(MAX('Альтернативы'!D$2:D$7)-MIN('Альтернативы'!D$2:D$7)),('Альтернативы'!D4-MIN('Альтернативы'!D$2:D$7))/(MAX('Альтернативы'!D$2:D$7)-MIN('Альтернативы'!D$2:D$7))))</x:f>
        <x:v>1</x:v>
      </x:c>
      <x:c r="E4" s="15" t="n">
        <x:f>IF(MAX('Альтернативы'!E$2:E$7)=MIN('Альтернативы'!E$2:E$7),1,IF('Веса критериев'!K4="min",(MAX('Альтернативы'!E$2:E$7)-'Альтернативы'!E4)/(MAX('Альтернативы'!E$2:E$7)-MIN('Альтернативы'!E$2:E$7)),('Альтернативы'!E4-MIN('Альтернативы'!E$2:E$7))/(MAX('Альтернативы'!E$2:E$7)-MIN('Альтернативы'!E$2:E$7))))</x:f>
        <x:v>1</x:v>
      </x:c>
      <x:c r="F4" s="15" t="n">
        <x:f>IF(MAX('Альтернативы'!F$2:F$7)=MIN('Альтернативы'!F$2:F$7),1,IF('Веса критериев'!L4="min",(MAX('Альтернативы'!F$2:F$7)-'Альтернативы'!F4)/(MAX('Альтернативы'!F$2:F$7)-MIN('Альтернативы'!F$2:F$7)),('Альтернативы'!F4-MIN('Альтернативы'!F$2:F$7))/(MAX('Альтернативы'!F$2:F$7)-MIN('Альтернативы'!F$2:F$7))))</x:f>
        <x:v>1</x:v>
      </x:c>
      <x:c r="G4" s="15" t="n">
        <x:f>IF(MAX('Альтернативы'!G$2:G$7)=MIN('Альтернативы'!G$2:G$7),1,IF('Веса критериев'!M4="min",(MAX('Альтернативы'!G$2:G$7)-'Альтернативы'!G4)/(MAX('Альтернативы'!G$2:G$7)-MIN('Альтернативы'!G$2:G$7)),('Альтернативы'!G4-MIN('Альтернативы'!G$2:G$7))/(MAX('Альтернативы'!G$2:G$7)-MIN('Альтернативы'!G$2:G$7))))</x:f>
        <x:v>0</x:v>
      </x:c>
      <x:c r="H4" s="15" t="n">
        <x:f>IF(MAX('Альтернативы'!H$2:H$7)=MIN('Альтернативы'!H$2:H$7),1,IF('Веса критериев'!N4="min",(MAX('Альтернативы'!H$2:H$7)-'Альтернативы'!H4)/(MAX('Альтернативы'!H$2:H$7)-MIN('Альтернативы'!H$2:H$7)),('Альтернативы'!H4-MIN('Альтернативы'!H$2:H$7))/(MAX('Альтернативы'!H$2:H$7)-MIN('Альтернативы'!H$2:H$7))))</x:f>
        <x:v>1</x:v>
      </x:c>
      <x:c r="I4" s="15" t="n">
        <x:f>IF(MAX('Альтернативы'!I$2:I$7)=MIN('Альтернативы'!I$2:I$7),1,IF('Веса критериев'!O4="min",(MAX('Альтернативы'!I$2:I$7)-'Альтернативы'!I4)/(MAX('Альтернативы'!I$2:I$7)-MIN('Альтернативы'!I$2:I$7)),('Альтернативы'!I4-MIN('Альтернативы'!I$2:I$7))/(MAX('Альтернативы'!I$2:I$7)-MIN('Альтернативы'!I$2:I$7))))</x:f>
        <x:v>1</x:v>
      </x:c>
      <x:c r="J4" s="15" t="n">
        <x:f>IF(MAX('Альтернативы'!J$2:J$7)=MIN('Альтернативы'!J$2:J$7),1,IF('Веса критериев'!P4="min",(MAX('Альтернативы'!J$2:J$7)-'Альтернативы'!J4)/(MAX('Альтернативы'!J$2:J$7)-MIN('Альтернативы'!J$2:J$7)),('Альтернативы'!J4-MIN('Альтернативы'!J$2:J$7))/(MAX('Альтернативы'!J$2:J$7)-MIN('Альтернативы'!J$2:J$7))))</x:f>
        <x:v>1</x:v>
      </x:c>
      <x:c r="K4" s="15" t="n">
        <x:f>IF(MAX('Альтернативы'!K$2:K$7)=MIN('Альтернативы'!K$2:K$7),1,IF('Веса критериев'!Q4="min",(MAX('Альтернативы'!K$2:K$7)-'Альтернативы'!K4)/(MAX('Альтернативы'!K$2:K$7)-MIN('Альтернативы'!K$2:K$7)),('Альтернативы'!K4-MIN('Альтернативы'!K$2:K$7))/(MAX('Альтернативы'!K$2:K$7)-MIN('Альтернативы'!K$2:K$7))))</x:f>
        <x:v>1</x:v>
      </x:c>
      <x:c r="L4" s="15" t="n">
        <x:f>B4*'Веса критериев'!$F$2+C4*'Веса критериев'!$F$3+D4*'Веса критериев'!$F$4+E4*'Веса критериев'!$F$5+F4*'Веса критериев'!$F$6+G4*'Веса критериев'!$F$7+H4*'Веса критериев'!$F$8+I4*'Веса критериев'!$F$9+J4*'Веса критериев'!$F$10+K4*'Веса критериев'!$F$11</x:f>
        <x:v>0.8776618270079232</x:v>
      </x:c>
      <x:c r="M4" s="15" t="n">
        <x:f>L4</x:f>
        <x:v>0.8776618270079232</x:v>
      </x:c>
      <x:c r="N4" s="12" t="n">
        <x:f>RANK.EQ(L4,$L$2:$L$7,0)</x:f>
        <x:v>1</x:v>
      </x:c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f>'Альтернативы'!A5</x:f>
        <x:v>Ессентуки: семейный отдых</x:v>
      </x:c>
      <x:c r="B5" s="15" t="n">
        <x:f>IF(MAX('Альтернативы'!B$2:B$7)=MIN('Альтернативы'!B$2:B$7),1,IF('Веса критериев'!H5="min",(MAX('Альтернативы'!B$2:B$7)-'Альтернативы'!B5)/(MAX('Альтернативы'!B$2:B$7)-MIN('Альтернативы'!B$2:B$7)),('Альтернативы'!B5-MIN('Альтернативы'!B$2:B$7))/(MAX('Альтернативы'!B$2:B$7)-MIN('Альтернативы'!B$2:B$7))))</x:f>
        <x:v>0.5000000000000004</x:v>
      </x:c>
      <x:c r="C5" s="15" t="n">
        <x:f>IF(MAX('Альтернативы'!C$2:C$7)=MIN('Альтернативы'!C$2:C$7),1,IF('Веса критериев'!I5="min",(MAX('Альтернативы'!C$2:C$7)-'Альтернативы'!C5)/(MAX('Альтернативы'!C$2:C$7)-MIN('Альтернативы'!C$2:C$7)),('Альтернативы'!C5-MIN('Альтернативы'!C$2:C$7))/(MAX('Альтернативы'!C$2:C$7)-MIN('Альтернативы'!C$2:C$7))))</x:f>
        <x:v>0.2608695652173913</x:v>
      </x:c>
      <x:c r="D5" s="15" t="n">
        <x:f>IF(MAX('Альтернативы'!D$2:D$7)=MIN('Альтернативы'!D$2:D$7),1,IF('Веса критериев'!J5="min",(MAX('Альтернативы'!D$2:D$7)-'Альтернативы'!D5)/(MAX('Альтернативы'!D$2:D$7)-MIN('Альтернативы'!D$2:D$7)),('Альтернативы'!D5-MIN('Альтернативы'!D$2:D$7))/(MAX('Альтернативы'!D$2:D$7)-MIN('Альтернативы'!D$2:D$7))))</x:f>
        <x:v>1</x:v>
      </x:c>
      <x:c r="E5" s="15" t="n">
        <x:f>IF(MAX('Альтернативы'!E$2:E$7)=MIN('Альтернативы'!E$2:E$7),1,IF('Веса критериев'!K5="min",(MAX('Альтернативы'!E$2:E$7)-'Альтернативы'!E5)/(MAX('Альтернативы'!E$2:E$7)-MIN('Альтернативы'!E$2:E$7)),('Альтернативы'!E5-MIN('Альтернативы'!E$2:E$7))/(MAX('Альтернативы'!E$2:E$7)-MIN('Альтернативы'!E$2:E$7))))</x:f>
        <x:v>1</x:v>
      </x:c>
      <x:c r="F5" s="15" t="n">
        <x:f>IF(MAX('Альтернативы'!F$2:F$7)=MIN('Альтернативы'!F$2:F$7),1,IF('Веса критериев'!L5="min",(MAX('Альтернативы'!F$2:F$7)-'Альтернативы'!F5)/(MAX('Альтернативы'!F$2:F$7)-MIN('Альтернативы'!F$2:F$7)),('Альтернативы'!F5-MIN('Альтернативы'!F$2:F$7))/(MAX('Альтернативы'!F$2:F$7)-MIN('Альтернативы'!F$2:F$7))))</x:f>
        <x:v>1</x:v>
      </x:c>
      <x:c r="G5" s="15" t="n">
        <x:f>IF(MAX('Альтернативы'!G$2:G$7)=MIN('Альтернативы'!G$2:G$7),1,IF('Веса критериев'!M5="min",(MAX('Альтернативы'!G$2:G$7)-'Альтернативы'!G5)/(MAX('Альтернативы'!G$2:G$7)-MIN('Альтернативы'!G$2:G$7)),('Альтернативы'!G5-MIN('Альтернативы'!G$2:G$7))/(MAX('Альтернативы'!G$2:G$7)-MIN('Альтернативы'!G$2:G$7))))</x:f>
        <x:v>0</x:v>
      </x:c>
      <x:c r="H5" s="15" t="n">
        <x:f>IF(MAX('Альтернативы'!H$2:H$7)=MIN('Альтернативы'!H$2:H$7),1,IF('Веса критериев'!N5="min",(MAX('Альтернативы'!H$2:H$7)-'Альтернативы'!H5)/(MAX('Альтернативы'!H$2:H$7)-MIN('Альтернативы'!H$2:H$7)),('Альтернативы'!H5-MIN('Альтернативы'!H$2:H$7))/(MAX('Альтернативы'!H$2:H$7)-MIN('Альтернативы'!H$2:H$7))))</x:f>
        <x:v>1</x:v>
      </x:c>
      <x:c r="I5" s="15" t="n">
        <x:f>IF(MAX('Альтернативы'!I$2:I$7)=MIN('Альтернативы'!I$2:I$7),1,IF('Веса критериев'!O5="min",(MAX('Альтернативы'!I$2:I$7)-'Альтернативы'!I5)/(MAX('Альтернативы'!I$2:I$7)-MIN('Альтернативы'!I$2:I$7)),('Альтернативы'!I5-MIN('Альтернативы'!I$2:I$7))/(MAX('Альтернативы'!I$2:I$7)-MIN('Альтернативы'!I$2:I$7))))</x:f>
        <x:v>1</x:v>
      </x:c>
      <x:c r="J5" s="15" t="n">
        <x:f>IF(MAX('Альтернативы'!J$2:J$7)=MIN('Альтернативы'!J$2:J$7),1,IF('Веса критериев'!P5="min",(MAX('Альтернативы'!J$2:J$7)-'Альтернативы'!J5)/(MAX('Альтернативы'!J$2:J$7)-MIN('Альтернативы'!J$2:J$7)),('Альтернативы'!J5-MIN('Альтернативы'!J$2:J$7))/(MAX('Альтернативы'!J$2:J$7)-MIN('Альтернативы'!J$2:J$7))))</x:f>
        <x:v>0.5416666666666665</x:v>
      </x:c>
      <x:c r="K5" s="15" t="n">
        <x:f>IF(MAX('Альтернативы'!K$2:K$7)=MIN('Альтернативы'!K$2:K$7),1,IF('Веса критериев'!Q5="min",(MAX('Альтернативы'!K$2:K$7)-'Альтернативы'!K5)/(MAX('Альтернативы'!K$2:K$7)-MIN('Альтернативы'!K$2:K$7)),('Альтернативы'!K5-MIN('Альтернативы'!K$2:K$7))/(MAX('Альтернативы'!K$2:K$7)-MIN('Альтернативы'!K$2:K$7))))</x:f>
        <x:v>0.5</x:v>
      </x:c>
      <x:c r="L5" s="15" t="n">
        <x:f>B5*'Веса критериев'!$F$2+C5*'Веса критериев'!$F$3+D5*'Веса критериев'!$F$4+E5*'Веса критериев'!$F$5+F5*'Веса критериев'!$F$6+G5*'Веса критериев'!$F$7+H5*'Веса критериев'!$F$8+I5*'Веса критериев'!$F$9+J5*'Веса критериев'!$F$10+K5*'Веса критериев'!$F$11</x:f>
        <x:v>0.6168583993359888</x:v>
      </x:c>
      <x:c r="M5" s="15" t="n">
        <x:f>L5</x:f>
        <x:v>0.6168583993359888</x:v>
      </x:c>
      <x:c r="N5" s="12" t="n">
        <x:f>RANK.EQ(L5,$L$2:$L$7,0)</x:f>
        <x:v>4</x:v>
      </x:c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f>'Альтернативы'!A6</x:f>
        <x:v>Минеральные Воды: семейный отдых</x:v>
      </x:c>
      <x:c r="B6" s="15" t="n">
        <x:f>IF(MAX('Альтернативы'!B$2:B$7)=MIN('Альтернативы'!B$2:B$7),1,IF('Веса критериев'!H6="min",(MAX('Альтернативы'!B$2:B$7)-'Альтернативы'!B6)/(MAX('Альтернативы'!B$2:B$7)-MIN('Альтернативы'!B$2:B$7)),('Альтернативы'!B6-MIN('Альтернативы'!B$2:B$7))/(MAX('Альтернативы'!B$2:B$7)-MIN('Альтернативы'!B$2:B$7))))</x:f>
        <x:v>0.20000000000000034</x:v>
      </x:c>
      <x:c r="C6" s="15" t="n">
        <x:f>IF(MAX('Альтернативы'!C$2:C$7)=MIN('Альтернативы'!C$2:C$7),1,IF('Веса критериев'!I6="min",(MAX('Альтернативы'!C$2:C$7)-'Альтернативы'!C6)/(MAX('Альтернативы'!C$2:C$7)-MIN('Альтернативы'!C$2:C$7)),('Альтернативы'!C6-MIN('Альтернативы'!C$2:C$7))/(MAX('Альтернативы'!C$2:C$7)-MIN('Альтернативы'!C$2:C$7))))</x:f>
        <x:v>0.13043478260869565</x:v>
      </x:c>
      <x:c r="D6" s="15" t="n">
        <x:f>IF(MAX('Альтернативы'!D$2:D$7)=MIN('Альтернативы'!D$2:D$7),1,IF('Веса критериев'!J6="min",(MAX('Альтернативы'!D$2:D$7)-'Альтернативы'!D6)/(MAX('Альтернативы'!D$2:D$7)-MIN('Альтернативы'!D$2:D$7)),('Альтернативы'!D6-MIN('Альтернативы'!D$2:D$7))/(MAX('Альтернативы'!D$2:D$7)-MIN('Альтернативы'!D$2:D$7))))</x:f>
        <x:v>1</x:v>
      </x:c>
      <x:c r="E6" s="15" t="n">
        <x:f>IF(MAX('Альтернативы'!E$2:E$7)=MIN('Альтернативы'!E$2:E$7),1,IF('Веса критериев'!K6="min",(MAX('Альтернативы'!E$2:E$7)-'Альтернативы'!E6)/(MAX('Альтернативы'!E$2:E$7)-MIN('Альтернативы'!E$2:E$7)),('Альтернативы'!E6-MIN('Альтернативы'!E$2:E$7))/(MAX('Альтернативы'!E$2:E$7)-MIN('Альтернативы'!E$2:E$7))))</x:f>
        <x:v>1</x:v>
      </x:c>
      <x:c r="F6" s="15" t="n">
        <x:f>IF(MAX('Альтернативы'!F$2:F$7)=MIN('Альтернативы'!F$2:F$7),1,IF('Веса критериев'!L6="min",(MAX('Альтернативы'!F$2:F$7)-'Альтернативы'!F6)/(MAX('Альтернативы'!F$2:F$7)-MIN('Альтернативы'!F$2:F$7)),('Альтернативы'!F6-MIN('Альтернативы'!F$2:F$7))/(MAX('Альтернативы'!F$2:F$7)-MIN('Альтернативы'!F$2:F$7))))</x:f>
        <x:v>1</x:v>
      </x:c>
      <x:c r="G6" s="15" t="n">
        <x:f>IF(MAX('Альтернативы'!G$2:G$7)=MIN('Альтернативы'!G$2:G$7),1,IF('Веса критериев'!M6="min",(MAX('Альтернативы'!G$2:G$7)-'Альтернативы'!G6)/(MAX('Альтернативы'!G$2:G$7)-MIN('Альтернативы'!G$2:G$7)),('Альтернативы'!G6-MIN('Альтернативы'!G$2:G$7))/(MAX('Альтернативы'!G$2:G$7)-MIN('Альтернативы'!G$2:G$7))))</x:f>
        <x:v>0</x:v>
      </x:c>
      <x:c r="H6" s="15" t="n">
        <x:f>IF(MAX('Альтернативы'!H$2:H$7)=MIN('Альтернативы'!H$2:H$7),1,IF('Веса критериев'!N6="min",(MAX('Альтернативы'!H$2:H$7)-'Альтернативы'!H6)/(MAX('Альтернативы'!H$2:H$7)-MIN('Альтернативы'!H$2:H$7)),('Альтернативы'!H6-MIN('Альтернативы'!H$2:H$7))/(MAX('Альтернативы'!H$2:H$7)-MIN('Альтернативы'!H$2:H$7))))</x:f>
        <x:v>1</x:v>
      </x:c>
      <x:c r="I6" s="15" t="n">
        <x:f>IF(MAX('Альтернативы'!I$2:I$7)=MIN('Альтернативы'!I$2:I$7),1,IF('Веса критериев'!O6="min",(MAX('Альтернативы'!I$2:I$7)-'Альтернативы'!I6)/(MAX('Альтернативы'!I$2:I$7)-MIN('Альтернативы'!I$2:I$7)),('Альтернативы'!I6-MIN('Альтернативы'!I$2:I$7))/(MAX('Альтернативы'!I$2:I$7)-MIN('Альтернативы'!I$2:I$7))))</x:f>
        <x:v>1</x:v>
      </x:c>
      <x:c r="J6" s="15" t="n">
        <x:f>IF(MAX('Альтернативы'!J$2:J$7)=MIN('Альтернативы'!J$2:J$7),1,IF('Веса критериев'!P6="min",(MAX('Альтернативы'!J$2:J$7)-'Альтернативы'!J6)/(MAX('Альтернативы'!J$2:J$7)-MIN('Альтернативы'!J$2:J$7)),('Альтернативы'!J6-MIN('Альтернативы'!J$2:J$7))/(MAX('Альтернативы'!J$2:J$7)-MIN('Альтернативы'!J$2:J$7))))</x:f>
        <x:v>0.20833333333333331</x:v>
      </x:c>
      <x:c r="K6" s="15" t="n">
        <x:f>IF(MAX('Альтернативы'!K$2:K$7)=MIN('Альтернативы'!K$2:K$7),1,IF('Веса критериев'!Q6="min",(MAX('Альтернативы'!K$2:K$7)-'Альтернативы'!K6)/(MAX('Альтернативы'!K$2:K$7)-MIN('Альтернативы'!K$2:K$7)),('Альтернативы'!K6-MIN('Альтернативы'!K$2:K$7))/(MAX('Альтернативы'!K$2:K$7)-MIN('Альтернативы'!K$2:K$7))))</x:f>
        <x:v>0</x:v>
      </x:c>
      <x:c r="L6" s="15" t="n">
        <x:f>B6*'Веса критериев'!$F$2+C6*'Веса критериев'!$F$3+D6*'Веса критериев'!$F$4+E6*'Веса критериев'!$F$5+F6*'Веса критериев'!$F$6+G6*'Веса критериев'!$F$7+H6*'Веса критериев'!$F$8+I6*'Веса критериев'!$F$9+J6*'Веса критериев'!$F$10+K6*'Веса критериев'!$F$11</x:f>
        <x:v>0.47110591899115195</x:v>
      </x:c>
      <x:c r="M6" s="15" t="n">
        <x:f>L6</x:f>
        <x:v>0.47110591899115195</x:v>
      </x:c>
      <x:c r="N6" s="12" t="n">
        <x:f>RANK.EQ(L6,$L$2:$L$7,0)</x:f>
        <x:v>5</x:v>
      </x:c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f>'Альтернативы'!A7</x:f>
        <x:v>Железноводск: семейный отдых</x:v>
      </x:c>
      <x:c r="B7" s="15" t="n">
        <x:f>IF(MAX('Альтернативы'!B$2:B$7)=MIN('Альтернативы'!B$2:B$7),1,IF('Веса критериев'!H7="min",(MAX('Альтернативы'!B$2:B$7)-'Альтернативы'!B7)/(MAX('Альтернативы'!B$2:B$7)-MIN('Альтернативы'!B$2:B$7)),('Альтернативы'!B7-MIN('Альтернативы'!B$2:B$7))/(MAX('Альтернативы'!B$2:B$7)-MIN('Альтернативы'!B$2:B$7))))</x:f>
        <x:v>0</x:v>
      </x:c>
      <x:c r="C7" s="15" t="n">
        <x:f>IF(MAX('Альтернативы'!C$2:C$7)=MIN('Альтернативы'!C$2:C$7),1,IF('Веса критериев'!I7="min",(MAX('Альтернативы'!C$2:C$7)-'Альтернативы'!C7)/(MAX('Альтернативы'!C$2:C$7)-MIN('Альтернативы'!C$2:C$7)),('Альтернативы'!C7-MIN('Альтернативы'!C$2:C$7))/(MAX('Альтернативы'!C$2:C$7)-MIN('Альтернативы'!C$2:C$7))))</x:f>
        <x:v>0</x:v>
      </x:c>
      <x:c r="D7" s="15" t="n">
        <x:f>IF(MAX('Альтернативы'!D$2:D$7)=MIN('Альтернативы'!D$2:D$7),1,IF('Веса критериев'!J7="min",(MAX('Альтернативы'!D$2:D$7)-'Альтернативы'!D7)/(MAX('Альтернативы'!D$2:D$7)-MIN('Альтернативы'!D$2:D$7)),('Альтернативы'!D7-MIN('Альтернативы'!D$2:D$7))/(MAX('Альтернативы'!D$2:D$7)-MIN('Альтернативы'!D$2:D$7))))</x:f>
        <x:v>1</x:v>
      </x:c>
      <x:c r="E7" s="15" t="n">
        <x:f>IF(MAX('Альтернативы'!E$2:E$7)=MIN('Альтернативы'!E$2:E$7),1,IF('Веса критериев'!K7="min",(MAX('Альтернативы'!E$2:E$7)-'Альтернативы'!E7)/(MAX('Альтернативы'!E$2:E$7)-MIN('Альтернативы'!E$2:E$7)),('Альтернативы'!E7-MIN('Альтернативы'!E$2:E$7))/(MAX('Альтернативы'!E$2:E$7)-MIN('Альтернативы'!E$2:E$7))))</x:f>
        <x:v>1</x:v>
      </x:c>
      <x:c r="F7" s="15" t="n">
        <x:f>IF(MAX('Альтернативы'!F$2:F$7)=MIN('Альтернативы'!F$2:F$7),1,IF('Веса критериев'!L7="min",(MAX('Альтернативы'!F$2:F$7)-'Альтернативы'!F7)/(MAX('Альтернативы'!F$2:F$7)-MIN('Альтернативы'!F$2:F$7)),('Альтернативы'!F7-MIN('Альтернативы'!F$2:F$7))/(MAX('Альтернативы'!F$2:F$7)-MIN('Альтернативы'!F$2:F$7))))</x:f>
        <x:v>1</x:v>
      </x:c>
      <x:c r="G7" s="15" t="n">
        <x:f>IF(MAX('Альтернативы'!G$2:G$7)=MIN('Альтернативы'!G$2:G$7),1,IF('Веса критериев'!M7="min",(MAX('Альтернативы'!G$2:G$7)-'Альтернативы'!G7)/(MAX('Альтернативы'!G$2:G$7)-MIN('Альтернативы'!G$2:G$7)),('Альтернативы'!G7-MIN('Альтернативы'!G$2:G$7))/(MAX('Альтернативы'!G$2:G$7)-MIN('Альтернативы'!G$2:G$7))))</x:f>
        <x:v>0</x:v>
      </x:c>
      <x:c r="H7" s="15" t="n">
        <x:f>IF(MAX('Альтернативы'!H$2:H$7)=MIN('Альтернативы'!H$2:H$7),1,IF('Веса критериев'!N7="min",(MAX('Альтернативы'!H$2:H$7)-'Альтернативы'!H7)/(MAX('Альтернативы'!H$2:H$7)-MIN('Альтернативы'!H$2:H$7)),('Альтернативы'!H7-MIN('Альтернативы'!H$2:H$7))/(MAX('Альтернативы'!H$2:H$7)-MIN('Альтернативы'!H$2:H$7))))</x:f>
        <x:v>1</x:v>
      </x:c>
      <x:c r="I7" s="15" t="n">
        <x:f>IF(MAX('Альтернативы'!I$2:I$7)=MIN('Альтернативы'!I$2:I$7),1,IF('Веса критериев'!O7="min",(MAX('Альтернативы'!I$2:I$7)-'Альтернативы'!I7)/(MAX('Альтернативы'!I$2:I$7)-MIN('Альтернативы'!I$2:I$7)),('Альтернативы'!I7-MIN('Альтернативы'!I$2:I$7))/(MAX('Альтернативы'!I$2:I$7)-MIN('Альтернативы'!I$2:I$7))))</x:f>
        <x:v>1</x:v>
      </x:c>
      <x:c r="J7" s="15" t="n">
        <x:f>IF(MAX('Альтернативы'!J$2:J$7)=MIN('Альтернативы'!J$2:J$7),1,IF('Веса критериев'!P7="min",(MAX('Альтернативы'!J$2:J$7)-'Альтернативы'!J7)/(MAX('Альтернативы'!J$2:J$7)-MIN('Альтернативы'!J$2:J$7)),('Альтернативы'!J7-MIN('Альтернативы'!J$2:J$7))/(MAX('Альтернативы'!J$2:J$7)-MIN('Альтернативы'!J$2:J$7))))</x:f>
        <x:v>0</x:v>
      </x:c>
      <x:c r="K7" s="15" t="n">
        <x:f>IF(MAX('Альтернативы'!K$2:K$7)=MIN('Альтернативы'!K$2:K$7),1,IF('Веса критериев'!Q7="min",(MAX('Альтернативы'!K$2:K$7)-'Альтернативы'!K7)/(MAX('Альтернативы'!K$2:K$7)-MIN('Альтернативы'!K$2:K$7)),('Альтернативы'!K7-MIN('Альтернативы'!K$2:K$7))/(MAX('Альтернативы'!K$2:K$7)-MIN('Альтернативы'!K$2:K$7))))</x:f>
        <x:v>0</x:v>
      </x:c>
      <x:c r="L7" s="15" t="n">
        <x:f>B7*'Веса критериев'!$F$2+C7*'Веса критериев'!$F$3+D7*'Веса критериев'!$F$4+E7*'Веса критериев'!$F$5+F7*'Веса критериев'!$F$6+G7*'Веса критериев'!$F$7+H7*'Веса критериев'!$F$8+I7*'Веса критериев'!$F$9+J7*'Веса критериев'!$F$10+K7*'Веса критериев'!$F$11</x:f>
        <x:v>0.37870339437740835</x:v>
      </x:c>
      <x:c r="M7" s="15" t="n">
        <x:f>L7</x:f>
        <x:v>0.37870339437740835</x:v>
      </x:c>
      <x:c r="N7" s="12" t="n">
        <x:f>RANK.EQ(L7,$L$2:$L$7,0)</x:f>
        <x:v>6</x:v>
      </x:c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3" hidden="0" customWidth="1"/>
    <x:col min="3" max="3" width="13" hidden="0" customWidth="1"/>
    <x:col min="4" max="4" width="13" hidden="0" customWidth="1"/>
    <x:col min="5" max="5" width="28" hidden="0" customWidth="1"/>
    <x:col min="7" max="7" width="16" hidden="0" customWidth="1"/>
    <x:col min="8" max="8" width="13" hidden="0" customWidth="1"/>
  </x:cols>
  <x:sheetData>
    <x:row r="1">
      <x:c r="A1" s="13" t="str">
        <x:v>Маршрут</x:v>
      </x:c>
      <x:c r="B1" s="13" t="str">
        <x:v>ОПЭ</x:v>
      </x:c>
      <x:c r="C1" s="13" t="str">
        <x:v>ОПЭ, %</x:v>
      </x:c>
      <x:c r="D1" s="13" t="str">
        <x:v>Место</x:v>
      </x:c>
      <x:c r="E1" s="13" t="str">
        <x:v>Интерпретация</x:v>
      </x:c>
      <x:c r="F1" s="12"/>
      <x:c r="G1" s="13" t="str">
        <x:v>Маршрут</x:v>
      </x:c>
      <x:c r="H1" s="13" t="str">
        <x:v>ОПЭ</x:v>
      </x:c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s="12" t="str">
        <x:f>'ОПЭ расчет'!A2</x:f>
        <x:v>Кисловодск: культурная программа</x:v>
      </x:c>
      <x:c r="B2" s="15" t="n">
        <x:f>'ОПЭ расчет'!L2</x:f>
        <x:v>0.8365412158488795</x:v>
      </x:c>
      <x:c r="C2" s="15" t="n">
        <x:f>B2</x:f>
        <x:v>0.8365412158488795</x:v>
      </x:c>
      <x:c r="D2" s="12" t="n">
        <x:f>'ОПЭ расчет'!N2</x:f>
        <x:v>2</x:v>
      </x:c>
      <x:c r="E2" s="12" t="str">
        <x:f>IF(B2&gt;=0.75,"высокая эффективность",IF(B2&gt;=0.6,"средняя эффективность","низкая эффективность"))</x:f>
        <x:v>высокая эффективность</x:v>
      </x:c>
      <x:c r="F2" s="12"/>
      <x:c r="G2" s="12" t="str">
        <x:v>Кисловодск</x:v>
      </x:c>
      <x:c r="H2" s="12" t="n">
        <x:f>B2</x:f>
        <x:v>0.8365412158488795</x:v>
      </x:c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</x:row>
    <x:row r="3">
      <x:c r="A3" s="12" t="str">
        <x:f>'ОПЭ расчет'!A3</x:f>
        <x:v>Пятигорск: семейный отдых</x:v>
      </x:c>
      <x:c r="B3" s="15" t="n">
        <x:f>'ОПЭ расчет'!L3</x:f>
        <x:v>0.6430028873003972</x:v>
      </x:c>
      <x:c r="C3" s="15" t="n">
        <x:f>B3</x:f>
        <x:v>0.6430028873003972</x:v>
      </x:c>
      <x:c r="D3" s="12" t="n">
        <x:f>'ОПЭ расчет'!N3</x:f>
        <x:v>3</x:v>
      </x:c>
      <x:c r="E3" s="12" t="str">
        <x:f>IF(B3&gt;=0.75,"высокая эффективность",IF(B3&gt;=0.6,"средняя эффективность","низкая эффективность"))</x:f>
        <x:v>средняя эффективность</x:v>
      </x:c>
      <x:c r="F3" s="12"/>
      <x:c r="G3" s="12" t="str">
        <x:v>Пятигорск</x:v>
      </x:c>
      <x:c r="H3" s="12" t="n">
        <x:f>B3</x:f>
        <x:v>0.6430028873003972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  <x:c r="Z3" s="12"/>
    </x:row>
    <x:row r="4">
      <x:c r="A4" s="12" t="str">
        <x:f>'ОПЭ расчет'!A4</x:f>
        <x:v>Ставрополь: активный маршрут</x:v>
      </x:c>
      <x:c r="B4" s="15" t="n">
        <x:f>'ОПЭ расчет'!L4</x:f>
        <x:v>0.8776618270079232</x:v>
      </x:c>
      <x:c r="C4" s="15" t="n">
        <x:f>B4</x:f>
        <x:v>0.8776618270079232</x:v>
      </x:c>
      <x:c r="D4" s="12" t="n">
        <x:f>'ОПЭ расчет'!N4</x:f>
        <x:v>1</x:v>
      </x:c>
      <x:c r="E4" s="12" t="str">
        <x:f>IF(B4&gt;=0.75,"высокая эффективность",IF(B4&gt;=0.6,"средняя эффективность","низкая эффективность"))</x:f>
        <x:v>высокая эффективность</x:v>
      </x:c>
      <x:c r="F4" s="12"/>
      <x:c r="G4" s="12" t="str">
        <x:v>Ставрополь</x:v>
      </x:c>
      <x:c r="H4" s="12" t="n">
        <x:f>B4</x:f>
        <x:v>0.8776618270079232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  <x:c r="Z4" s="12"/>
    </x:row>
    <x:row r="5">
      <x:c r="A5" s="12" t="str">
        <x:f>'ОПЭ расчет'!A5</x:f>
        <x:v>Ессентуки: семейный отдых</x:v>
      </x:c>
      <x:c r="B5" s="15" t="n">
        <x:f>'ОПЭ расчет'!L5</x:f>
        <x:v>0.6168583993359888</x:v>
      </x:c>
      <x:c r="C5" s="15" t="n">
        <x:f>B5</x:f>
        <x:v>0.6168583993359888</x:v>
      </x:c>
      <x:c r="D5" s="12" t="n">
        <x:f>'ОПЭ расчет'!N5</x:f>
        <x:v>4</x:v>
      </x:c>
      <x:c r="E5" s="12" t="str">
        <x:f>IF(B5&gt;=0.75,"высокая эффективность",IF(B5&gt;=0.6,"средняя эффективность","низкая эффективность"))</x:f>
        <x:v>средняя эффективность</x:v>
      </x:c>
      <x:c r="F5" s="12"/>
      <x:c r="G5" s="12" t="str">
        <x:v>Ессентуки</x:v>
      </x:c>
      <x:c r="H5" s="12" t="n">
        <x:f>B5</x:f>
        <x:v>0.6168583993359888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  <x:c r="Z5" s="12"/>
    </x:row>
    <x:row r="6">
      <x:c r="A6" s="12" t="str">
        <x:f>'ОПЭ расчет'!A6</x:f>
        <x:v>Минеральные Воды: семейный отдых</x:v>
      </x:c>
      <x:c r="B6" s="15" t="n">
        <x:f>'ОПЭ расчет'!L6</x:f>
        <x:v>0.47110591899115195</x:v>
      </x:c>
      <x:c r="C6" s="15" t="n">
        <x:f>B6</x:f>
        <x:v>0.47110591899115195</x:v>
      </x:c>
      <x:c r="D6" s="12" t="n">
        <x:f>'ОПЭ расчет'!N6</x:f>
        <x:v>5</x:v>
      </x:c>
      <x:c r="E6" s="12" t="str">
        <x:f>IF(B6&gt;=0.75,"высокая эффективность",IF(B6&gt;=0.6,"средняя эффективность","низкая эффективность"))</x:f>
        <x:v>низкая эффективность</x:v>
      </x:c>
      <x:c r="F6" s="12"/>
      <x:c r="G6" s="12" t="str">
        <x:v>Мин. Воды</x:v>
      </x:c>
      <x:c r="H6" s="12" t="n">
        <x:f>B6</x:f>
        <x:v>0.47110591899115195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  <x:c r="Z6" s="12"/>
    </x:row>
    <x:row r="7">
      <x:c r="A7" s="12" t="str">
        <x:f>'ОПЭ расчет'!A7</x:f>
        <x:v>Железноводск: семейный отдых</x:v>
      </x:c>
      <x:c r="B7" s="15" t="n">
        <x:f>'ОПЭ расчет'!L7</x:f>
        <x:v>0.37870339437740835</x:v>
      </x:c>
      <x:c r="C7" s="15" t="n">
        <x:f>B7</x:f>
        <x:v>0.37870339437740835</x:v>
      </x:c>
      <x:c r="D7" s="12" t="n">
        <x:f>'ОПЭ расчет'!N7</x:f>
        <x:v>6</x:v>
      </x:c>
      <x:c r="E7" s="12" t="str">
        <x:f>IF(B7&gt;=0.75,"высокая эффективность",IF(B7&gt;=0.6,"средняя эффективность","низкая эффективность"))</x:f>
        <x:v>низкая эффективность</x:v>
      </x:c>
      <x:c r="F7" s="12"/>
      <x:c r="G7" s="12" t="str">
        <x:v>Железноводск</x:v>
      </x:c>
      <x:c r="H7" s="12" t="n">
        <x:f>B7</x:f>
        <x:v>0.37870339437740835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  <x:c r="Z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  <x:c r="Z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  <x:c r="Z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  <x:c r="Z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  <x:c r="Z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  <x:c r="Z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  <x:c r="Z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  <x:c r="Z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  <x:c r="Z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  <x:c r="Z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  <x:c r="Z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  <x:c r="Z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  <x:c r="Z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  <x:c r="Z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  <x:c r="Z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  <x:c r="Z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  <x:c r="Z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  <x:c r="Z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  <x:c r="Z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  <x:c r="Z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  <x:c r="Z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  <x:c r="Z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  <x:c r="Z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  <x:c r="Z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  <x:c r="Z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  <x:c r="Z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  <x:c r="Z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  <x:c r="Z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  <x:c r="Z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  <x:c r="Z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  <x:c r="Z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  <x:c r="Z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  <x:c r="Z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  <x:c r="Z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  <x:c r="Z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  <x:c r="Z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  <x:c r="Z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</x:row>
  </x:sheetData>
  <x:pageMargins left="0.7" right="0.7" top="0.75" bottom="0.75" header="0.3" footer="0.3"/>
  <x:drawing xmlns:r="http://schemas.openxmlformats.org/officeDocument/2006/relationships" r:id="R9179b1a900984a8b"/>
</x:worksheet>
</file>